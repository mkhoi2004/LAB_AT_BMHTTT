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GitHub\LAB_AT_BMHTTT\LAB5\"/>
    </mc:Choice>
  </mc:AlternateContent>
  <xr:revisionPtr revIDLastSave="0" documentId="13_ncr:1_{8E578514-5E15-49FA-88FA-B963B45A41B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Mã hóa" sheetId="1" r:id="rId1"/>
    <sheet name="Giải mã" sheetId="2" r:id="rId2"/>
    <sheet name="Bang_s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1" l="1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F8" i="2"/>
  <c r="C48" i="2" s="1"/>
  <c r="C49" i="1"/>
  <c r="D38" i="1"/>
  <c r="D37" i="1"/>
  <c r="D36" i="1"/>
  <c r="G35" i="1"/>
  <c r="F35" i="1"/>
  <c r="E35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E36" i="2" l="1"/>
  <c r="F36" i="2"/>
  <c r="H36" i="2"/>
  <c r="G36" i="2"/>
  <c r="H35" i="2"/>
  <c r="G35" i="2"/>
  <c r="F35" i="2"/>
  <c r="E35" i="2"/>
  <c r="H34" i="2"/>
  <c r="F34" i="2"/>
  <c r="E34" i="2"/>
  <c r="G34" i="2"/>
  <c r="E33" i="2"/>
  <c r="H33" i="2"/>
  <c r="G33" i="2"/>
  <c r="F33" i="2"/>
  <c r="E32" i="2"/>
  <c r="H32" i="2"/>
  <c r="G32" i="2"/>
  <c r="F32" i="2"/>
  <c r="F31" i="2"/>
  <c r="H31" i="2"/>
  <c r="G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E26" i="2"/>
  <c r="F26" i="2"/>
  <c r="H25" i="2"/>
  <c r="F25" i="2"/>
  <c r="E25" i="2"/>
  <c r="G25" i="2"/>
  <c r="H24" i="2"/>
  <c r="G24" i="2"/>
  <c r="F24" i="2"/>
  <c r="E24" i="2"/>
  <c r="H23" i="2"/>
  <c r="G23" i="2"/>
  <c r="F23" i="2"/>
  <c r="E23" i="2"/>
  <c r="E22" i="2"/>
  <c r="H22" i="2"/>
  <c r="G22" i="2"/>
  <c r="F22" i="2"/>
  <c r="H21" i="2"/>
  <c r="G21" i="2"/>
  <c r="F21" i="2"/>
  <c r="E21" i="2"/>
  <c r="E20" i="2"/>
  <c r="H20" i="2"/>
  <c r="G20" i="2"/>
  <c r="F20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E15" i="2"/>
  <c r="H15" i="2"/>
  <c r="F15" i="2"/>
  <c r="G15" i="2"/>
  <c r="G14" i="2"/>
  <c r="F14" i="2"/>
  <c r="E14" i="2"/>
  <c r="H14" i="2"/>
  <c r="G38" i="1"/>
  <c r="F38" i="1"/>
  <c r="E38" i="1"/>
  <c r="G37" i="1"/>
  <c r="F37" i="1"/>
  <c r="E37" i="1"/>
  <c r="G36" i="1"/>
  <c r="F36" i="1"/>
  <c r="E36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E14" i="1"/>
  <c r="G14" i="1"/>
  <c r="F14" i="1"/>
  <c r="G13" i="1"/>
  <c r="E13" i="1"/>
  <c r="F13" i="1"/>
  <c r="G12" i="1"/>
  <c r="F12" i="1"/>
  <c r="E12" i="1"/>
  <c r="C45" i="2" l="1"/>
  <c r="H45" i="2" s="1"/>
  <c r="E45" i="2"/>
  <c r="C44" i="2"/>
  <c r="H44" i="2" s="1"/>
  <c r="E44" i="2"/>
  <c r="C43" i="2"/>
  <c r="H43" i="2" s="1"/>
  <c r="E43" i="2"/>
  <c r="C42" i="2"/>
  <c r="H42" i="2" s="1"/>
  <c r="E42" i="2"/>
  <c r="C41" i="2"/>
  <c r="H41" i="2" s="1"/>
  <c r="E41" i="2"/>
  <c r="C40" i="2"/>
  <c r="H40" i="2" s="1"/>
  <c r="E40" i="2"/>
  <c r="C46" i="1"/>
  <c r="E46" i="1"/>
  <c r="C45" i="1"/>
  <c r="E45" i="1"/>
  <c r="C44" i="1"/>
  <c r="E44" i="1"/>
  <c r="C43" i="1"/>
  <c r="E43" i="1"/>
  <c r="C42" i="1"/>
  <c r="E42" i="1"/>
  <c r="C49" i="2" l="1"/>
</calcChain>
</file>

<file path=xl/sharedStrings.xml><?xml version="1.0" encoding="utf-8"?>
<sst xmlns="http://schemas.openxmlformats.org/spreadsheetml/2006/main" count="197" uniqueCount="76">
  <si>
    <t>PHẦN 1: MÃ HÓA CAESAR (k = 4)</t>
  </si>
  <si>
    <t>Ô nền vàng, chữ xanh là dữ liệu nhập; các ô còn lại là công thức tự tính.</t>
  </si>
  <si>
    <t>BƯỚC 1: Chuẩn bị (bảng số, công thức, khóa k)</t>
  </si>
  <si>
    <t>Công thức:</t>
  </si>
  <si>
    <t>c = (p + k) mod 26   (mã hóa)</t>
  </si>
  <si>
    <t>Bảng số: xem sheet Bang_so (A=0, B=1, ..., Z=25)</t>
  </si>
  <si>
    <t>Khóa k =</t>
  </si>
  <si>
    <t>Bản rõ:</t>
  </si>
  <si>
    <t>actions speak louder than words</t>
  </si>
  <si>
    <t>BƯỚC 2: Tính từng chữ cái (cộng k, nếu ≥ 26 thì lấy mod 26)</t>
  </si>
  <si>
    <t>STT</t>
  </si>
  <si>
    <t>Từ</t>
  </si>
  <si>
    <t>Bản rõ</t>
  </si>
  <si>
    <t>p</t>
  </si>
  <si>
    <t>Tính c = (p + k) mod 26</t>
  </si>
  <si>
    <t>Số kết quả</t>
  </si>
  <si>
    <t>Bản mã</t>
  </si>
  <si>
    <t>Kiểm tra ngược</t>
  </si>
  <si>
    <t>actions</t>
  </si>
  <si>
    <t>A</t>
  </si>
  <si>
    <t>C</t>
  </si>
  <si>
    <t>T</t>
  </si>
  <si>
    <t>I</t>
  </si>
  <si>
    <t>O</t>
  </si>
  <si>
    <t>N</t>
  </si>
  <si>
    <t>S</t>
  </si>
  <si>
    <t>speak</t>
  </si>
  <si>
    <t>P</t>
  </si>
  <si>
    <t>E</t>
  </si>
  <si>
    <t>K</t>
  </si>
  <si>
    <t>louder</t>
  </si>
  <si>
    <t>L</t>
  </si>
  <si>
    <t>U</t>
  </si>
  <si>
    <t>D</t>
  </si>
  <si>
    <t>R</t>
  </si>
  <si>
    <t>than</t>
  </si>
  <si>
    <t>H</t>
  </si>
  <si>
    <t>words</t>
  </si>
  <si>
    <t>W</t>
  </si>
  <si>
    <t>BƯỚC 3: Ghép các chữ thành từng từ và kiểm tra</t>
  </si>
  <si>
    <t>Từ gốc</t>
  </si>
  <si>
    <t>Số chữ</t>
  </si>
  <si>
    <t>Ghép lại</t>
  </si>
  <si>
    <t>Kiểm tra</t>
  </si>
  <si>
    <t>BƯỚC 4: KẾT QUẢ</t>
  </si>
  <si>
    <t>Bản mã:</t>
  </si>
  <si>
    <t>PHẦN 2: ĐOÁN KHÓA VÀ GIẢI MÃ CAESAR</t>
  </si>
  <si>
    <t>p = (c − k) mod 26   (giải mã)</t>
  </si>
  <si>
    <t>Đoán khóa: chữ mã</t>
  </si>
  <si>
    <t>F</t>
  </si>
  <si>
    <t>ứng với chữ rõ</t>
  </si>
  <si>
    <t>a</t>
  </si>
  <si>
    <t>k = (số chữ mã − số chữ rõ) mod 26 =</t>
  </si>
  <si>
    <t>Cơ sở: RFS và HFS cùng đuôi "FS", nên đoán là "man" và "can" (F ứng với a). Hoặc thử vét cạn k = 1..25.</t>
  </si>
  <si>
    <t>ST RFS HFS XJWAJ YBT RFXYJWX</t>
  </si>
  <si>
    <t>BƯỚC 2: Tính từng chữ cái (trừ k, nếu âm thì cộng 26)</t>
  </si>
  <si>
    <t>c</t>
  </si>
  <si>
    <t>Tính p = (c − k) mod 26</t>
  </si>
  <si>
    <t>ST</t>
  </si>
  <si>
    <t>RFS</t>
  </si>
  <si>
    <t>HFS</t>
  </si>
  <si>
    <t>XJWAJ</t>
  </si>
  <si>
    <t>X</t>
  </si>
  <si>
    <t>J</t>
  </si>
  <si>
    <t>YBT</t>
  </si>
  <si>
    <t>Y</t>
  </si>
  <si>
    <t>B</t>
  </si>
  <si>
    <t>RFXYJWX</t>
  </si>
  <si>
    <t>Nghĩa: Không ai có thể phụng sự hai chủ.</t>
  </si>
  <si>
    <t>Chữ cái</t>
  </si>
  <si>
    <t>Số (0-25)</t>
  </si>
  <si>
    <t>G</t>
  </si>
  <si>
    <t>M</t>
  </si>
  <si>
    <t>Q</t>
  </si>
  <si>
    <t>V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</si>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</sst>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9"/>
      <color rgb="FF666666"/>
      <name val="Arial"/>
      <charset val="1"/>
    </font>
    <font>
      <b/>
      <sz val="12"/>
      <color rgb="FF1F3864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666666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b/>
      <sz val="11"/>
      <color rgb="FFC00000"/>
      <name val="Arial"/>
      <charset val="1"/>
    </font>
    <font>
      <b/>
      <sz val="14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666666"/>
      </patternFill>
    </fill>
    <fill>
      <patternFill patternType="solid">
        <fgColor rgb="FFE2EFDA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rgb="FFD9E1F2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0" fillId="5" borderId="0" xfId="0" applyFill="1"/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/>
    <xf numFmtId="0" fontId="13" fillId="6" borderId="2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2" fillId="7" borderId="2" xfId="0" applyFont="1" applyFill="1" applyBorder="1"/>
    <xf numFmtId="0" fontId="15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2" fillId="10" borderId="2" xfId="0" applyFont="1" applyFill="1" applyBorder="1"/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Normal="100" workbookViewId="0">
      <pane ySplit="3" topLeftCell="A4" activePane="bottomLeft" state="frozen"/>
      <selection pane="bottomLeft" activeCell="C8" sqref="C8"/>
    </sheetView>
  </sheetViews>
  <sheetFormatPr defaultColWidth="8.6328125" defaultRowHeight="14" x14ac:dyDescent="0.3"/>
  <cols>
    <col min="1" max="1" width="7" style="20" customWidth="1"/>
    <col min="2" max="2" width="14" style="20" customWidth="1"/>
    <col min="3" max="3" width="28.7265625" style="20" bestFit="1" customWidth="1"/>
    <col min="4" max="4" width="8" style="20" customWidth="1"/>
    <col min="5" max="5" width="34" style="20" customWidth="1"/>
    <col min="6" max="6" width="9" style="20" customWidth="1"/>
    <col min="7" max="7" width="10" style="20" customWidth="1"/>
    <col min="8" max="8" width="14" style="20" customWidth="1"/>
    <col min="9" max="16384" width="8.6328125" style="20"/>
  </cols>
  <sheetData>
    <row r="1" spans="1:8" ht="17.5" x14ac:dyDescent="0.3">
      <c r="A1" s="19" t="s">
        <v>0</v>
      </c>
    </row>
    <row r="2" spans="1:8" x14ac:dyDescent="0.3">
      <c r="A2" s="21" t="s">
        <v>1</v>
      </c>
    </row>
    <row r="4" spans="1:8" ht="15" x14ac:dyDescent="0.3">
      <c r="A4" s="22" t="s">
        <v>2</v>
      </c>
      <c r="B4" s="23"/>
      <c r="C4" s="23"/>
      <c r="D4" s="23"/>
      <c r="E4" s="23"/>
      <c r="F4" s="23"/>
      <c r="G4" s="23"/>
      <c r="H4" s="23"/>
    </row>
    <row r="5" spans="1:8" x14ac:dyDescent="0.3">
      <c r="A5" s="24" t="s">
        <v>3</v>
      </c>
      <c r="C5" s="25" t="s">
        <v>4</v>
      </c>
    </row>
    <row r="6" spans="1:8" x14ac:dyDescent="0.3">
      <c r="A6" s="25" t="s">
        <v>5</v>
      </c>
    </row>
    <row r="7" spans="1:8" x14ac:dyDescent="0.3">
      <c r="A7" s="24" t="s">
        <v>6</v>
      </c>
      <c r="C7" s="26">
        <v>4</v>
      </c>
    </row>
    <row r="8" spans="1:8" x14ac:dyDescent="0.3">
      <c r="A8" s="24" t="s">
        <v>7</v>
      </c>
      <c r="C8" s="27" t="s">
        <v>8</v>
      </c>
    </row>
    <row r="10" spans="1:8" ht="15" x14ac:dyDescent="0.3">
      <c r="A10" s="22" t="s">
        <v>9</v>
      </c>
      <c r="B10" s="23"/>
      <c r="C10" s="23"/>
      <c r="D10" s="23"/>
      <c r="E10" s="23"/>
      <c r="F10" s="23"/>
      <c r="G10" s="23"/>
      <c r="H10" s="23"/>
    </row>
    <row r="11" spans="1:8" x14ac:dyDescent="0.3">
      <c r="A11" s="28" t="s">
        <v>10</v>
      </c>
      <c r="B11" s="28" t="s">
        <v>11</v>
      </c>
      <c r="C11" s="28" t="s">
        <v>12</v>
      </c>
      <c r="D11" s="28" t="s">
        <v>13</v>
      </c>
      <c r="E11" s="28" t="s">
        <v>14</v>
      </c>
      <c r="F11" s="28" t="s">
        <v>15</v>
      </c>
      <c r="G11" s="28" t="s">
        <v>16</v>
      </c>
      <c r="H11" s="28"/>
    </row>
    <row r="12" spans="1:8" x14ac:dyDescent="0.3">
      <c r="A12" s="29">
        <v>1</v>
      </c>
      <c r="B12" s="29" t="s">
        <v>18</v>
      </c>
      <c r="C12" s="29" t="s">
        <v>19</v>
      </c>
      <c r="D12" s="29">
        <f>INDEX(Bang_so!$B$2:$B$27,MATCH(C12,Bang_so!$A$2:$A$27,0))</f>
        <v>0</v>
      </c>
      <c r="E12" s="25" t="str">
        <f t="shared" ref="E12:E38" si="0">"("&amp;D12&amp;" + "&amp;$C$7&amp;") mod 26 = "&amp;MOD(D12+$C$7,26)</f>
        <v>(0 + 4) mod 26 = 4</v>
      </c>
      <c r="F12" s="29">
        <f t="shared" ref="F12:F38" si="1">MOD(D12+$C$7,26)</f>
        <v>4</v>
      </c>
      <c r="G12" s="30" t="str">
        <f>INDEX(Bang_so!$A$2:$A$27,MOD(D12+$C$7,26)+1)</f>
        <v>E</v>
      </c>
      <c r="H12" s="29"/>
    </row>
    <row r="13" spans="1:8" x14ac:dyDescent="0.3">
      <c r="A13" s="29">
        <v>2</v>
      </c>
      <c r="B13" s="29" t="s">
        <v>18</v>
      </c>
      <c r="C13" s="29" t="s">
        <v>20</v>
      </c>
      <c r="D13" s="29">
        <f>INDEX(Bang_so!$B$2:$B$27,MATCH(C13,Bang_so!$A$2:$A$27,0))</f>
        <v>2</v>
      </c>
      <c r="E13" s="25" t="str">
        <f t="shared" si="0"/>
        <v>(2 + 4) mod 26 = 6</v>
      </c>
      <c r="F13" s="29">
        <f t="shared" si="1"/>
        <v>6</v>
      </c>
      <c r="G13" s="30" t="str">
        <f>INDEX(Bang_so!$A$2:$A$27,MOD(D13+$C$7,26)+1)</f>
        <v>G</v>
      </c>
      <c r="H13" s="29"/>
    </row>
    <row r="14" spans="1:8" x14ac:dyDescent="0.3">
      <c r="A14" s="29">
        <v>3</v>
      </c>
      <c r="B14" s="29" t="s">
        <v>18</v>
      </c>
      <c r="C14" s="29" t="s">
        <v>21</v>
      </c>
      <c r="D14" s="29">
        <f>INDEX(Bang_so!$B$2:$B$27,MATCH(C14,Bang_so!$A$2:$A$27,0))</f>
        <v>19</v>
      </c>
      <c r="E14" s="25" t="str">
        <f t="shared" si="0"/>
        <v>(19 + 4) mod 26 = 23</v>
      </c>
      <c r="F14" s="29">
        <f t="shared" si="1"/>
        <v>23</v>
      </c>
      <c r="G14" s="30" t="str">
        <f>INDEX(Bang_so!$A$2:$A$27,MOD(D14+$C$7,26)+1)</f>
        <v>X</v>
      </c>
      <c r="H14" s="29"/>
    </row>
    <row r="15" spans="1:8" x14ac:dyDescent="0.3">
      <c r="A15" s="29">
        <v>4</v>
      </c>
      <c r="B15" s="29" t="s">
        <v>18</v>
      </c>
      <c r="C15" s="29" t="s">
        <v>22</v>
      </c>
      <c r="D15" s="29">
        <f>INDEX(Bang_so!$B$2:$B$27,MATCH(C15,Bang_so!$A$2:$A$27,0))</f>
        <v>8</v>
      </c>
      <c r="E15" s="25" t="str">
        <f t="shared" si="0"/>
        <v>(8 + 4) mod 26 = 12</v>
      </c>
      <c r="F15" s="29">
        <f t="shared" si="1"/>
        <v>12</v>
      </c>
      <c r="G15" s="30" t="str">
        <f>INDEX(Bang_so!$A$2:$A$27,MOD(D15+$C$7,26)+1)</f>
        <v>M</v>
      </c>
      <c r="H15" s="29"/>
    </row>
    <row r="16" spans="1:8" x14ac:dyDescent="0.3">
      <c r="A16" s="29">
        <v>5</v>
      </c>
      <c r="B16" s="29" t="s">
        <v>18</v>
      </c>
      <c r="C16" s="29" t="s">
        <v>23</v>
      </c>
      <c r="D16" s="29">
        <f>INDEX(Bang_so!$B$2:$B$27,MATCH(C16,Bang_so!$A$2:$A$27,0))</f>
        <v>14</v>
      </c>
      <c r="E16" s="25" t="str">
        <f t="shared" si="0"/>
        <v>(14 + 4) mod 26 = 18</v>
      </c>
      <c r="F16" s="29">
        <f t="shared" si="1"/>
        <v>18</v>
      </c>
      <c r="G16" s="30" t="str">
        <f>INDEX(Bang_so!$A$2:$A$27,MOD(D16+$C$7,26)+1)</f>
        <v>S</v>
      </c>
      <c r="H16" s="29"/>
    </row>
    <row r="17" spans="1:8" x14ac:dyDescent="0.3">
      <c r="A17" s="29">
        <v>6</v>
      </c>
      <c r="B17" s="29" t="s">
        <v>18</v>
      </c>
      <c r="C17" s="29" t="s">
        <v>24</v>
      </c>
      <c r="D17" s="29">
        <f>INDEX(Bang_so!$B$2:$B$27,MATCH(C17,Bang_so!$A$2:$A$27,0))</f>
        <v>13</v>
      </c>
      <c r="E17" s="25" t="str">
        <f t="shared" si="0"/>
        <v>(13 + 4) mod 26 = 17</v>
      </c>
      <c r="F17" s="29">
        <f t="shared" si="1"/>
        <v>17</v>
      </c>
      <c r="G17" s="30" t="str">
        <f>INDEX(Bang_so!$A$2:$A$27,MOD(D17+$C$7,26)+1)</f>
        <v>R</v>
      </c>
      <c r="H17" s="29"/>
    </row>
    <row r="18" spans="1:8" x14ac:dyDescent="0.3">
      <c r="A18" s="29">
        <v>7</v>
      </c>
      <c r="B18" s="29" t="s">
        <v>18</v>
      </c>
      <c r="C18" s="29" t="s">
        <v>25</v>
      </c>
      <c r="D18" s="29">
        <f>INDEX(Bang_so!$B$2:$B$27,MATCH(C18,Bang_so!$A$2:$A$27,0))</f>
        <v>18</v>
      </c>
      <c r="E18" s="25" t="str">
        <f t="shared" si="0"/>
        <v>(18 + 4) mod 26 = 22</v>
      </c>
      <c r="F18" s="29">
        <f t="shared" si="1"/>
        <v>22</v>
      </c>
      <c r="G18" s="30" t="str">
        <f>INDEX(Bang_so!$A$2:$A$27,MOD(D18+$C$7,26)+1)</f>
        <v>W</v>
      </c>
      <c r="H18" s="29"/>
    </row>
    <row r="19" spans="1:8" x14ac:dyDescent="0.3">
      <c r="A19" s="29">
        <v>8</v>
      </c>
      <c r="B19" s="29" t="s">
        <v>26</v>
      </c>
      <c r="C19" s="29" t="s">
        <v>25</v>
      </c>
      <c r="D19" s="29">
        <f>INDEX(Bang_so!$B$2:$B$27,MATCH(C19,Bang_so!$A$2:$A$27,0))</f>
        <v>18</v>
      </c>
      <c r="E19" s="25" t="str">
        <f t="shared" si="0"/>
        <v>(18 + 4) mod 26 = 22</v>
      </c>
      <c r="F19" s="29">
        <f t="shared" si="1"/>
        <v>22</v>
      </c>
      <c r="G19" s="30" t="str">
        <f>INDEX(Bang_so!$A$2:$A$27,MOD(D19+$C$7,26)+1)</f>
        <v>W</v>
      </c>
      <c r="H19" s="29"/>
    </row>
    <row r="20" spans="1:8" x14ac:dyDescent="0.3">
      <c r="A20" s="29">
        <v>9</v>
      </c>
      <c r="B20" s="29" t="s">
        <v>26</v>
      </c>
      <c r="C20" s="29" t="s">
        <v>27</v>
      </c>
      <c r="D20" s="29">
        <f>INDEX(Bang_so!$B$2:$B$27,MATCH(C20,Bang_so!$A$2:$A$27,0))</f>
        <v>15</v>
      </c>
      <c r="E20" s="25" t="str">
        <f t="shared" si="0"/>
        <v>(15 + 4) mod 26 = 19</v>
      </c>
      <c r="F20" s="29">
        <f t="shared" si="1"/>
        <v>19</v>
      </c>
      <c r="G20" s="30" t="str">
        <f>INDEX(Bang_so!$A$2:$A$27,MOD(D20+$C$7,26)+1)</f>
        <v>T</v>
      </c>
      <c r="H20" s="29"/>
    </row>
    <row r="21" spans="1:8" x14ac:dyDescent="0.3">
      <c r="A21" s="29">
        <v>10</v>
      </c>
      <c r="B21" s="29" t="s">
        <v>26</v>
      </c>
      <c r="C21" s="29" t="s">
        <v>28</v>
      </c>
      <c r="D21" s="29">
        <f>INDEX(Bang_so!$B$2:$B$27,MATCH(C21,Bang_so!$A$2:$A$27,0))</f>
        <v>4</v>
      </c>
      <c r="E21" s="25" t="str">
        <f t="shared" si="0"/>
        <v>(4 + 4) mod 26 = 8</v>
      </c>
      <c r="F21" s="29">
        <f t="shared" si="1"/>
        <v>8</v>
      </c>
      <c r="G21" s="30" t="str">
        <f>INDEX(Bang_so!$A$2:$A$27,MOD(D21+$C$7,26)+1)</f>
        <v>I</v>
      </c>
      <c r="H21" s="29"/>
    </row>
    <row r="22" spans="1:8" x14ac:dyDescent="0.3">
      <c r="A22" s="29">
        <v>11</v>
      </c>
      <c r="B22" s="29" t="s">
        <v>26</v>
      </c>
      <c r="C22" s="29" t="s">
        <v>19</v>
      </c>
      <c r="D22" s="29">
        <f>INDEX(Bang_so!$B$2:$B$27,MATCH(C22,Bang_so!$A$2:$A$27,0))</f>
        <v>0</v>
      </c>
      <c r="E22" s="25" t="str">
        <f t="shared" si="0"/>
        <v>(0 + 4) mod 26 = 4</v>
      </c>
      <c r="F22" s="29">
        <f t="shared" si="1"/>
        <v>4</v>
      </c>
      <c r="G22" s="30" t="str">
        <f>INDEX(Bang_so!$A$2:$A$27,MOD(D22+$C$7,26)+1)</f>
        <v>E</v>
      </c>
      <c r="H22" s="29"/>
    </row>
    <row r="23" spans="1:8" x14ac:dyDescent="0.3">
      <c r="A23" s="29">
        <v>12</v>
      </c>
      <c r="B23" s="29" t="s">
        <v>26</v>
      </c>
      <c r="C23" s="29" t="s">
        <v>29</v>
      </c>
      <c r="D23" s="29">
        <f>INDEX(Bang_so!$B$2:$B$27,MATCH(C23,Bang_so!$A$2:$A$27,0))</f>
        <v>10</v>
      </c>
      <c r="E23" s="25" t="str">
        <f t="shared" si="0"/>
        <v>(10 + 4) mod 26 = 14</v>
      </c>
      <c r="F23" s="29">
        <f t="shared" si="1"/>
        <v>14</v>
      </c>
      <c r="G23" s="30" t="str">
        <f>INDEX(Bang_so!$A$2:$A$27,MOD(D23+$C$7,26)+1)</f>
        <v>O</v>
      </c>
      <c r="H23" s="29"/>
    </row>
    <row r="24" spans="1:8" x14ac:dyDescent="0.3">
      <c r="A24" s="29">
        <v>13</v>
      </c>
      <c r="B24" s="29" t="s">
        <v>30</v>
      </c>
      <c r="C24" s="29" t="s">
        <v>31</v>
      </c>
      <c r="D24" s="29">
        <f>INDEX(Bang_so!$B$2:$B$27,MATCH(C24,Bang_so!$A$2:$A$27,0))</f>
        <v>11</v>
      </c>
      <c r="E24" s="25" t="str">
        <f t="shared" si="0"/>
        <v>(11 + 4) mod 26 = 15</v>
      </c>
      <c r="F24" s="29">
        <f t="shared" si="1"/>
        <v>15</v>
      </c>
      <c r="G24" s="30" t="str">
        <f>INDEX(Bang_so!$A$2:$A$27,MOD(D24+$C$7,26)+1)</f>
        <v>P</v>
      </c>
      <c r="H24" s="29"/>
    </row>
    <row r="25" spans="1:8" x14ac:dyDescent="0.3">
      <c r="A25" s="29">
        <v>14</v>
      </c>
      <c r="B25" s="29" t="s">
        <v>30</v>
      </c>
      <c r="C25" s="29" t="s">
        <v>23</v>
      </c>
      <c r="D25" s="29">
        <f>INDEX(Bang_so!$B$2:$B$27,MATCH(C25,Bang_so!$A$2:$A$27,0))</f>
        <v>14</v>
      </c>
      <c r="E25" s="25" t="str">
        <f t="shared" si="0"/>
        <v>(14 + 4) mod 26 = 18</v>
      </c>
      <c r="F25" s="29">
        <f t="shared" si="1"/>
        <v>18</v>
      </c>
      <c r="G25" s="30" t="str">
        <f>INDEX(Bang_so!$A$2:$A$27,MOD(D25+$C$7,26)+1)</f>
        <v>S</v>
      </c>
      <c r="H25" s="29"/>
    </row>
    <row r="26" spans="1:8" x14ac:dyDescent="0.3">
      <c r="A26" s="29">
        <v>15</v>
      </c>
      <c r="B26" s="29" t="s">
        <v>30</v>
      </c>
      <c r="C26" s="29" t="s">
        <v>32</v>
      </c>
      <c r="D26" s="29">
        <f>INDEX(Bang_so!$B$2:$B$27,MATCH(C26,Bang_so!$A$2:$A$27,0))</f>
        <v>20</v>
      </c>
      <c r="E26" s="25" t="str">
        <f t="shared" si="0"/>
        <v>(20 + 4) mod 26 = 24</v>
      </c>
      <c r="F26" s="29">
        <f t="shared" si="1"/>
        <v>24</v>
      </c>
      <c r="G26" s="30" t="str">
        <f>INDEX(Bang_so!$A$2:$A$27,MOD(D26+$C$7,26)+1)</f>
        <v>Y</v>
      </c>
      <c r="H26" s="29"/>
    </row>
    <row r="27" spans="1:8" x14ac:dyDescent="0.3">
      <c r="A27" s="29">
        <v>16</v>
      </c>
      <c r="B27" s="29" t="s">
        <v>30</v>
      </c>
      <c r="C27" s="29" t="s">
        <v>33</v>
      </c>
      <c r="D27" s="29">
        <f>INDEX(Bang_so!$B$2:$B$27,MATCH(C27,Bang_so!$A$2:$A$27,0))</f>
        <v>3</v>
      </c>
      <c r="E27" s="25" t="str">
        <f t="shared" si="0"/>
        <v>(3 + 4) mod 26 = 7</v>
      </c>
      <c r="F27" s="29">
        <f t="shared" si="1"/>
        <v>7</v>
      </c>
      <c r="G27" s="30" t="str">
        <f>INDEX(Bang_so!$A$2:$A$27,MOD(D27+$C$7,26)+1)</f>
        <v>H</v>
      </c>
      <c r="H27" s="29"/>
    </row>
    <row r="28" spans="1:8" x14ac:dyDescent="0.3">
      <c r="A28" s="29">
        <v>17</v>
      </c>
      <c r="B28" s="29" t="s">
        <v>30</v>
      </c>
      <c r="C28" s="29" t="s">
        <v>28</v>
      </c>
      <c r="D28" s="29">
        <f>INDEX(Bang_so!$B$2:$B$27,MATCH(C28,Bang_so!$A$2:$A$27,0))</f>
        <v>4</v>
      </c>
      <c r="E28" s="25" t="str">
        <f t="shared" si="0"/>
        <v>(4 + 4) mod 26 = 8</v>
      </c>
      <c r="F28" s="29">
        <f t="shared" si="1"/>
        <v>8</v>
      </c>
      <c r="G28" s="30" t="str">
        <f>INDEX(Bang_so!$A$2:$A$27,MOD(D28+$C$7,26)+1)</f>
        <v>I</v>
      </c>
      <c r="H28" s="29"/>
    </row>
    <row r="29" spans="1:8" x14ac:dyDescent="0.3">
      <c r="A29" s="29">
        <v>18</v>
      </c>
      <c r="B29" s="29" t="s">
        <v>30</v>
      </c>
      <c r="C29" s="29" t="s">
        <v>34</v>
      </c>
      <c r="D29" s="29">
        <f>INDEX(Bang_so!$B$2:$B$27,MATCH(C29,Bang_so!$A$2:$A$27,0))</f>
        <v>17</v>
      </c>
      <c r="E29" s="25" t="str">
        <f t="shared" si="0"/>
        <v>(17 + 4) mod 26 = 21</v>
      </c>
      <c r="F29" s="29">
        <f t="shared" si="1"/>
        <v>21</v>
      </c>
      <c r="G29" s="30" t="str">
        <f>INDEX(Bang_so!$A$2:$A$27,MOD(D29+$C$7,26)+1)</f>
        <v>V</v>
      </c>
      <c r="H29" s="29"/>
    </row>
    <row r="30" spans="1:8" x14ac:dyDescent="0.3">
      <c r="A30" s="29">
        <v>19</v>
      </c>
      <c r="B30" s="29" t="s">
        <v>35</v>
      </c>
      <c r="C30" s="29" t="s">
        <v>21</v>
      </c>
      <c r="D30" s="29">
        <f>INDEX(Bang_so!$B$2:$B$27,MATCH(C30,Bang_so!$A$2:$A$27,0))</f>
        <v>19</v>
      </c>
      <c r="E30" s="25" t="str">
        <f t="shared" si="0"/>
        <v>(19 + 4) mod 26 = 23</v>
      </c>
      <c r="F30" s="29">
        <f t="shared" si="1"/>
        <v>23</v>
      </c>
      <c r="G30" s="30" t="str">
        <f>INDEX(Bang_so!$A$2:$A$27,MOD(D30+$C$7,26)+1)</f>
        <v>X</v>
      </c>
      <c r="H30" s="29"/>
    </row>
    <row r="31" spans="1:8" x14ac:dyDescent="0.3">
      <c r="A31" s="29">
        <v>20</v>
      </c>
      <c r="B31" s="29" t="s">
        <v>35</v>
      </c>
      <c r="C31" s="29" t="s">
        <v>36</v>
      </c>
      <c r="D31" s="29">
        <f>INDEX(Bang_so!$B$2:$B$27,MATCH(C31,Bang_so!$A$2:$A$27,0))</f>
        <v>7</v>
      </c>
      <c r="E31" s="25" t="str">
        <f t="shared" si="0"/>
        <v>(7 + 4) mod 26 = 11</v>
      </c>
      <c r="F31" s="29">
        <f t="shared" si="1"/>
        <v>11</v>
      </c>
      <c r="G31" s="30" t="str">
        <f>INDEX(Bang_so!$A$2:$A$27,MOD(D31+$C$7,26)+1)</f>
        <v>L</v>
      </c>
      <c r="H31" s="29"/>
    </row>
    <row r="32" spans="1:8" x14ac:dyDescent="0.3">
      <c r="A32" s="29">
        <v>21</v>
      </c>
      <c r="B32" s="29" t="s">
        <v>35</v>
      </c>
      <c r="C32" s="29" t="s">
        <v>19</v>
      </c>
      <c r="D32" s="29">
        <f>INDEX(Bang_so!$B$2:$B$27,MATCH(C32,Bang_so!$A$2:$A$27,0))</f>
        <v>0</v>
      </c>
      <c r="E32" s="25" t="str">
        <f t="shared" si="0"/>
        <v>(0 + 4) mod 26 = 4</v>
      </c>
      <c r="F32" s="29">
        <f t="shared" si="1"/>
        <v>4</v>
      </c>
      <c r="G32" s="30" t="str">
        <f>INDEX(Bang_so!$A$2:$A$27,MOD(D32+$C$7,26)+1)</f>
        <v>E</v>
      </c>
      <c r="H32" s="29"/>
    </row>
    <row r="33" spans="1:8" x14ac:dyDescent="0.3">
      <c r="A33" s="29">
        <v>22</v>
      </c>
      <c r="B33" s="29" t="s">
        <v>35</v>
      </c>
      <c r="C33" s="29" t="s">
        <v>24</v>
      </c>
      <c r="D33" s="29">
        <f>INDEX(Bang_so!$B$2:$B$27,MATCH(C33,Bang_so!$A$2:$A$27,0))</f>
        <v>13</v>
      </c>
      <c r="E33" s="25" t="str">
        <f t="shared" si="0"/>
        <v>(13 + 4) mod 26 = 17</v>
      </c>
      <c r="F33" s="29">
        <f t="shared" si="1"/>
        <v>17</v>
      </c>
      <c r="G33" s="30" t="str">
        <f>INDEX(Bang_so!$A$2:$A$27,MOD(D33+$C$7,26)+1)</f>
        <v>R</v>
      </c>
      <c r="H33" s="29"/>
    </row>
    <row r="34" spans="1:8" x14ac:dyDescent="0.3">
      <c r="A34" s="29">
        <v>23</v>
      </c>
      <c r="B34" s="29" t="s">
        <v>37</v>
      </c>
      <c r="C34" s="29" t="s">
        <v>38</v>
      </c>
      <c r="D34" s="29">
        <f>INDEX(Bang_so!$B$2:$B$27,MATCH(C34,Bang_so!$A$2:$A$27,0))</f>
        <v>22</v>
      </c>
      <c r="E34" s="25" t="str">
        <f t="shared" si="0"/>
        <v>(22 + 4) mod 26 = 0</v>
      </c>
      <c r="F34" s="29">
        <f t="shared" si="1"/>
        <v>0</v>
      </c>
      <c r="G34" s="30" t="str">
        <f>INDEX(Bang_so!$A$2:$A$27,MOD(D34+$C$7,26)+1)</f>
        <v>A</v>
      </c>
      <c r="H34" s="29"/>
    </row>
    <row r="35" spans="1:8" x14ac:dyDescent="0.3">
      <c r="A35" s="29">
        <v>24</v>
      </c>
      <c r="B35" s="29" t="s">
        <v>37</v>
      </c>
      <c r="C35" s="29" t="s">
        <v>23</v>
      </c>
      <c r="D35" s="29">
        <f>INDEX(Bang_so!$B$2:$B$27,MATCH(C35,Bang_so!$A$2:$A$27,0))</f>
        <v>14</v>
      </c>
      <c r="E35" s="25" t="str">
        <f t="shared" si="0"/>
        <v>(14 + 4) mod 26 = 18</v>
      </c>
      <c r="F35" s="29">
        <f t="shared" si="1"/>
        <v>18</v>
      </c>
      <c r="G35" s="30" t="str">
        <f>INDEX(Bang_so!$A$2:$A$27,MOD(D35+$C$7,26)+1)</f>
        <v>S</v>
      </c>
      <c r="H35" s="29"/>
    </row>
    <row r="36" spans="1:8" x14ac:dyDescent="0.3">
      <c r="A36" s="29">
        <v>25</v>
      </c>
      <c r="B36" s="29" t="s">
        <v>37</v>
      </c>
      <c r="C36" s="29" t="s">
        <v>34</v>
      </c>
      <c r="D36" s="29">
        <f>INDEX(Bang_so!$B$2:$B$27,MATCH(C36,Bang_so!$A$2:$A$27,0))</f>
        <v>17</v>
      </c>
      <c r="E36" s="25" t="str">
        <f t="shared" si="0"/>
        <v>(17 + 4) mod 26 = 21</v>
      </c>
      <c r="F36" s="29">
        <f t="shared" si="1"/>
        <v>21</v>
      </c>
      <c r="G36" s="30" t="str">
        <f>INDEX(Bang_so!$A$2:$A$27,MOD(D36+$C$7,26)+1)</f>
        <v>V</v>
      </c>
      <c r="H36" s="29"/>
    </row>
    <row r="37" spans="1:8" x14ac:dyDescent="0.3">
      <c r="A37" s="29">
        <v>26</v>
      </c>
      <c r="B37" s="29" t="s">
        <v>37</v>
      </c>
      <c r="C37" s="29" t="s">
        <v>33</v>
      </c>
      <c r="D37" s="29">
        <f>INDEX(Bang_so!$B$2:$B$27,MATCH(C37,Bang_so!$A$2:$A$27,0))</f>
        <v>3</v>
      </c>
      <c r="E37" s="25" t="str">
        <f t="shared" si="0"/>
        <v>(3 + 4) mod 26 = 7</v>
      </c>
      <c r="F37" s="29">
        <f t="shared" si="1"/>
        <v>7</v>
      </c>
      <c r="G37" s="30" t="str">
        <f>INDEX(Bang_so!$A$2:$A$27,MOD(D37+$C$7,26)+1)</f>
        <v>H</v>
      </c>
      <c r="H37" s="29"/>
    </row>
    <row r="38" spans="1:8" x14ac:dyDescent="0.3">
      <c r="A38" s="29">
        <v>27</v>
      </c>
      <c r="B38" s="29" t="s">
        <v>37</v>
      </c>
      <c r="C38" s="29" t="s">
        <v>25</v>
      </c>
      <c r="D38" s="29">
        <f>INDEX(Bang_so!$B$2:$B$27,MATCH(C38,Bang_so!$A$2:$A$27,0))</f>
        <v>18</v>
      </c>
      <c r="E38" s="25" t="str">
        <f t="shared" si="0"/>
        <v>(18 + 4) mod 26 = 22</v>
      </c>
      <c r="F38" s="29">
        <f t="shared" si="1"/>
        <v>22</v>
      </c>
      <c r="G38" s="30" t="str">
        <f>INDEX(Bang_so!$A$2:$A$27,MOD(D38+$C$7,26)+1)</f>
        <v>W</v>
      </c>
      <c r="H38" s="29"/>
    </row>
    <row r="40" spans="1:8" ht="15" x14ac:dyDescent="0.3">
      <c r="A40" s="22" t="s">
        <v>39</v>
      </c>
      <c r="B40" s="23"/>
      <c r="C40" s="23"/>
      <c r="D40" s="23"/>
      <c r="E40" s="23"/>
      <c r="F40" s="23"/>
      <c r="G40" s="23"/>
      <c r="H40" s="23"/>
    </row>
    <row r="41" spans="1:8" x14ac:dyDescent="0.3">
      <c r="A41" s="28" t="s">
        <v>10</v>
      </c>
      <c r="B41" s="28" t="s">
        <v>40</v>
      </c>
      <c r="C41" s="28" t="s">
        <v>41</v>
      </c>
      <c r="D41" s="28"/>
      <c r="E41" s="28" t="s">
        <v>42</v>
      </c>
      <c r="F41" s="28"/>
      <c r="G41" s="28"/>
      <c r="H41" s="28"/>
    </row>
    <row r="42" spans="1:8" x14ac:dyDescent="0.3">
      <c r="A42" s="29">
        <v>1</v>
      </c>
      <c r="B42" s="29" t="s">
        <v>18</v>
      </c>
      <c r="C42" s="29">
        <f>COUNTA(G12:G18)</f>
        <v>7</v>
      </c>
      <c r="E42" s="24" t="str">
        <f>G12&amp;G13&amp;G14&amp;G15&amp;G16&amp;G17&amp;G18</f>
        <v>EGXMSRW</v>
      </c>
      <c r="H42" s="29"/>
    </row>
    <row r="43" spans="1:8" x14ac:dyDescent="0.3">
      <c r="A43" s="29">
        <v>2</v>
      </c>
      <c r="B43" s="29" t="s">
        <v>26</v>
      </c>
      <c r="C43" s="29">
        <f>COUNTA(G19:G23)</f>
        <v>5</v>
      </c>
      <c r="E43" s="24" t="str">
        <f>G19&amp;G20&amp;G21&amp;G22&amp;G23</f>
        <v>WTIEO</v>
      </c>
      <c r="H43" s="29"/>
    </row>
    <row r="44" spans="1:8" x14ac:dyDescent="0.3">
      <c r="A44" s="29">
        <v>3</v>
      </c>
      <c r="B44" s="29" t="s">
        <v>30</v>
      </c>
      <c r="C44" s="29">
        <f>COUNTA(G24:G29)</f>
        <v>6</v>
      </c>
      <c r="E44" s="24" t="str">
        <f>G24&amp;G25&amp;G26&amp;G27&amp;G28&amp;G29</f>
        <v>PSYHIV</v>
      </c>
      <c r="H44" s="29"/>
    </row>
    <row r="45" spans="1:8" x14ac:dyDescent="0.3">
      <c r="A45" s="29">
        <v>4</v>
      </c>
      <c r="B45" s="29" t="s">
        <v>35</v>
      </c>
      <c r="C45" s="29">
        <f>COUNTA(G30:G33)</f>
        <v>4</v>
      </c>
      <c r="E45" s="24" t="str">
        <f>G30&amp;G31&amp;G32&amp;G33</f>
        <v>XLER</v>
      </c>
      <c r="H45" s="29"/>
    </row>
    <row r="46" spans="1:8" x14ac:dyDescent="0.3">
      <c r="A46" s="29">
        <v>5</v>
      </c>
      <c r="B46" s="29" t="s">
        <v>37</v>
      </c>
      <c r="C46" s="29">
        <f>COUNTA(G34:G38)</f>
        <v>5</v>
      </c>
      <c r="E46" s="24" t="str">
        <f>G34&amp;G35&amp;G36&amp;G37&amp;G38</f>
        <v>ASVHW</v>
      </c>
      <c r="H46" s="29"/>
    </row>
    <row r="48" spans="1:8" ht="15" x14ac:dyDescent="0.3">
      <c r="A48" s="22" t="s">
        <v>44</v>
      </c>
      <c r="B48" s="23"/>
      <c r="C48" s="23"/>
      <c r="D48" s="23"/>
      <c r="E48" s="23"/>
      <c r="F48" s="23"/>
      <c r="G48" s="23"/>
      <c r="H48" s="23"/>
    </row>
    <row r="49" spans="1:8" x14ac:dyDescent="0.3">
      <c r="A49" s="24" t="s">
        <v>6</v>
      </c>
      <c r="C49" s="31">
        <f>$C$7</f>
        <v>4</v>
      </c>
    </row>
    <row r="50" spans="1:8" x14ac:dyDescent="0.3">
      <c r="A50" s="24" t="s">
        <v>45</v>
      </c>
      <c r="C50" s="33" t="str">
        <f>E42&amp;" "&amp;E43&amp;" "&amp;E44&amp;" "&amp;E45&amp;" "&amp;E46</f>
        <v>EGXMSRW WTIEO PSYHIV XLER ASVHW</v>
      </c>
      <c r="D50" s="34"/>
      <c r="E50" s="35"/>
      <c r="F50" s="32"/>
      <c r="G50" s="32"/>
      <c r="H50" s="32"/>
    </row>
  </sheetData>
  <mergeCells count="1">
    <mergeCell ref="C50:E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4" customWidth="1"/>
    <col min="3" max="3" width="10" customWidth="1"/>
    <col min="4" max="4" width="8" customWidth="1"/>
    <col min="5" max="5" width="34" customWidth="1"/>
    <col min="6" max="6" width="9" customWidth="1"/>
    <col min="7" max="7" width="10" customWidth="1"/>
    <col min="8" max="8" width="14" customWidth="1"/>
  </cols>
  <sheetData>
    <row r="1" spans="1:8" ht="18" x14ac:dyDescent="0.35">
      <c r="A1" s="1" t="s">
        <v>46</v>
      </c>
    </row>
    <row r="2" spans="1:8" x14ac:dyDescent="0.35">
      <c r="A2" s="2" t="s">
        <v>1</v>
      </c>
    </row>
    <row r="4" spans="1:8" ht="15.5" x14ac:dyDescent="0.35">
      <c r="A4" s="3" t="s">
        <v>2</v>
      </c>
      <c r="B4" s="4"/>
      <c r="C4" s="4"/>
      <c r="D4" s="4"/>
      <c r="E4" s="4"/>
      <c r="F4" s="4"/>
      <c r="G4" s="4"/>
      <c r="H4" s="4"/>
    </row>
    <row r="5" spans="1:8" x14ac:dyDescent="0.35">
      <c r="A5" s="5" t="s">
        <v>3</v>
      </c>
      <c r="C5" s="6" t="s">
        <v>47</v>
      </c>
    </row>
    <row r="6" spans="1:8" x14ac:dyDescent="0.35">
      <c r="A6" s="7" t="s">
        <v>5</v>
      </c>
    </row>
    <row r="7" spans="1:8" x14ac:dyDescent="0.35">
      <c r="A7" s="5" t="s">
        <v>48</v>
      </c>
      <c r="C7" s="8" t="s">
        <v>49</v>
      </c>
      <c r="D7" s="5" t="s">
        <v>50</v>
      </c>
      <c r="F7" s="8" t="s">
        <v>51</v>
      </c>
    </row>
    <row r="8" spans="1:8" x14ac:dyDescent="0.35">
      <c r="A8" s="5" t="s">
        <v>52</v>
      </c>
      <c r="F8" s="16">
        <f>MOD(INDEX(Bang_so!$B$2:$B$27,MATCH(C7,Bang_so!$A$2:$A$27,0))-INDEX(Bang_so!$B$2:$B$27,MATCH(F7,Bang_so!$A$2:$A$27,0)),26)</f>
        <v>5</v>
      </c>
    </row>
    <row r="9" spans="1:8" x14ac:dyDescent="0.35">
      <c r="A9" s="2" t="s">
        <v>53</v>
      </c>
    </row>
    <row r="10" spans="1:8" x14ac:dyDescent="0.35">
      <c r="A10" s="5" t="s">
        <v>45</v>
      </c>
      <c r="C10" s="9" t="s">
        <v>54</v>
      </c>
    </row>
    <row r="12" spans="1:8" ht="15.5" x14ac:dyDescent="0.35">
      <c r="A12" s="3" t="s">
        <v>55</v>
      </c>
      <c r="B12" s="4"/>
      <c r="C12" s="4"/>
      <c r="D12" s="4"/>
      <c r="E12" s="4"/>
      <c r="F12" s="4"/>
      <c r="G12" s="4"/>
      <c r="H12" s="4"/>
    </row>
    <row r="13" spans="1:8" x14ac:dyDescent="0.35">
      <c r="A13" s="10" t="s">
        <v>10</v>
      </c>
      <c r="B13" s="10" t="s">
        <v>11</v>
      </c>
      <c r="C13" s="10" t="s">
        <v>16</v>
      </c>
      <c r="D13" s="10" t="s">
        <v>56</v>
      </c>
      <c r="E13" s="10" t="s">
        <v>57</v>
      </c>
      <c r="F13" s="10" t="s">
        <v>15</v>
      </c>
      <c r="G13" s="10" t="s">
        <v>12</v>
      </c>
      <c r="H13" s="10" t="s">
        <v>17</v>
      </c>
    </row>
    <row r="14" spans="1:8" x14ac:dyDescent="0.35">
      <c r="A14" s="11">
        <v>1</v>
      </c>
      <c r="B14" s="11" t="s">
        <v>58</v>
      </c>
      <c r="C14" s="12" t="s">
        <v>25</v>
      </c>
      <c r="D14" s="11">
        <f>INDEX(Bang_so!$B$2:$B$27,MATCH(C14,Bang_so!$A$2:$A$27,0))</f>
        <v>18</v>
      </c>
      <c r="E14" s="13" t="str">
        <f t="shared" ref="E14:E36" si="0">"("&amp;D14&amp;" − "&amp;$F$8&amp;") mod 26 = "&amp;MOD(D14-$F$8,26)</f>
        <v>(18 − 5) mod 26 = 13</v>
      </c>
      <c r="F14" s="11">
        <f t="shared" ref="F14:F36" si="1">MOD(D14-$F$8,26)</f>
        <v>13</v>
      </c>
      <c r="G14" s="14" t="str">
        <f>LOWER(INDEX(Bang_so!$A$2:$A$27,MOD(D14-$F$8,26)+1))</f>
        <v>n</v>
      </c>
      <c r="H14" s="11" t="str">
        <f t="shared" ref="H14:H36" si="2">IF(MOD(MOD(D14-$F$8,26)+$F$8,26)=D14,"✓ đúng","✗ sai")</f>
        <v>✓ đúng</v>
      </c>
    </row>
    <row r="15" spans="1:8" x14ac:dyDescent="0.35">
      <c r="A15" s="11">
        <v>2</v>
      </c>
      <c r="B15" s="11" t="s">
        <v>58</v>
      </c>
      <c r="C15" s="12" t="s">
        <v>21</v>
      </c>
      <c r="D15" s="11">
        <f>INDEX(Bang_so!$B$2:$B$27,MATCH(C15,Bang_so!$A$2:$A$27,0))</f>
        <v>19</v>
      </c>
      <c r="E15" s="13" t="str">
        <f t="shared" si="0"/>
        <v>(19 − 5) mod 26 = 14</v>
      </c>
      <c r="F15" s="11">
        <f t="shared" si="1"/>
        <v>14</v>
      </c>
      <c r="G15" s="14" t="str">
        <f>LOWER(INDEX(Bang_so!$A$2:$A$27,MOD(D15-$F$8,26)+1))</f>
        <v>o</v>
      </c>
      <c r="H15" s="11" t="str">
        <f t="shared" si="2"/>
        <v>✓ đúng</v>
      </c>
    </row>
    <row r="16" spans="1:8" x14ac:dyDescent="0.35">
      <c r="A16" s="11">
        <v>3</v>
      </c>
      <c r="B16" s="11" t="s">
        <v>59</v>
      </c>
      <c r="C16" s="12" t="s">
        <v>34</v>
      </c>
      <c r="D16" s="11">
        <f>INDEX(Bang_so!$B$2:$B$27,MATCH(C16,Bang_so!$A$2:$A$27,0))</f>
        <v>17</v>
      </c>
      <c r="E16" s="13" t="str">
        <f t="shared" si="0"/>
        <v>(17 − 5) mod 26 = 12</v>
      </c>
      <c r="F16" s="11">
        <f t="shared" si="1"/>
        <v>12</v>
      </c>
      <c r="G16" s="14" t="str">
        <f>LOWER(INDEX(Bang_so!$A$2:$A$27,MOD(D16-$F$8,26)+1))</f>
        <v>m</v>
      </c>
      <c r="H16" s="11" t="str">
        <f t="shared" si="2"/>
        <v>✓ đúng</v>
      </c>
    </row>
    <row r="17" spans="1:8" x14ac:dyDescent="0.35">
      <c r="A17" s="11">
        <v>4</v>
      </c>
      <c r="B17" s="11" t="s">
        <v>59</v>
      </c>
      <c r="C17" s="12" t="s">
        <v>49</v>
      </c>
      <c r="D17" s="11">
        <f>INDEX(Bang_so!$B$2:$B$27,MATCH(C17,Bang_so!$A$2:$A$27,0))</f>
        <v>5</v>
      </c>
      <c r="E17" s="13" t="str">
        <f t="shared" si="0"/>
        <v>(5 − 5) mod 26 = 0</v>
      </c>
      <c r="F17" s="11">
        <f t="shared" si="1"/>
        <v>0</v>
      </c>
      <c r="G17" s="14" t="str">
        <f>LOWER(INDEX(Bang_so!$A$2:$A$27,MOD(D17-$F$8,26)+1))</f>
        <v>a</v>
      </c>
      <c r="H17" s="11" t="str">
        <f t="shared" si="2"/>
        <v>✓ đúng</v>
      </c>
    </row>
    <row r="18" spans="1:8" x14ac:dyDescent="0.35">
      <c r="A18" s="11">
        <v>5</v>
      </c>
      <c r="B18" s="11" t="s">
        <v>59</v>
      </c>
      <c r="C18" s="12" t="s">
        <v>25</v>
      </c>
      <c r="D18" s="11">
        <f>INDEX(Bang_so!$B$2:$B$27,MATCH(C18,Bang_so!$A$2:$A$27,0))</f>
        <v>18</v>
      </c>
      <c r="E18" s="13" t="str">
        <f t="shared" si="0"/>
        <v>(18 − 5) mod 26 = 13</v>
      </c>
      <c r="F18" s="11">
        <f t="shared" si="1"/>
        <v>13</v>
      </c>
      <c r="G18" s="14" t="str">
        <f>LOWER(INDEX(Bang_so!$A$2:$A$27,MOD(D18-$F$8,26)+1))</f>
        <v>n</v>
      </c>
      <c r="H18" s="11" t="str">
        <f t="shared" si="2"/>
        <v>✓ đúng</v>
      </c>
    </row>
    <row r="19" spans="1:8" x14ac:dyDescent="0.35">
      <c r="A19" s="11">
        <v>6</v>
      </c>
      <c r="B19" s="11" t="s">
        <v>60</v>
      </c>
      <c r="C19" s="12" t="s">
        <v>36</v>
      </c>
      <c r="D19" s="11">
        <f>INDEX(Bang_so!$B$2:$B$27,MATCH(C19,Bang_so!$A$2:$A$27,0))</f>
        <v>7</v>
      </c>
      <c r="E19" s="13" t="str">
        <f t="shared" si="0"/>
        <v>(7 − 5) mod 26 = 2</v>
      </c>
      <c r="F19" s="11">
        <f t="shared" si="1"/>
        <v>2</v>
      </c>
      <c r="G19" s="14" t="str">
        <f>LOWER(INDEX(Bang_so!$A$2:$A$27,MOD(D19-$F$8,26)+1))</f>
        <v>c</v>
      </c>
      <c r="H19" s="11" t="str">
        <f t="shared" si="2"/>
        <v>✓ đúng</v>
      </c>
    </row>
    <row r="20" spans="1:8" x14ac:dyDescent="0.35">
      <c r="A20" s="11">
        <v>7</v>
      </c>
      <c r="B20" s="11" t="s">
        <v>60</v>
      </c>
      <c r="C20" s="12" t="s">
        <v>49</v>
      </c>
      <c r="D20" s="11">
        <f>INDEX(Bang_so!$B$2:$B$27,MATCH(C20,Bang_so!$A$2:$A$27,0))</f>
        <v>5</v>
      </c>
      <c r="E20" s="13" t="str">
        <f t="shared" si="0"/>
        <v>(5 − 5) mod 26 = 0</v>
      </c>
      <c r="F20" s="11">
        <f t="shared" si="1"/>
        <v>0</v>
      </c>
      <c r="G20" s="14" t="str">
        <f>LOWER(INDEX(Bang_so!$A$2:$A$27,MOD(D20-$F$8,26)+1))</f>
        <v>a</v>
      </c>
      <c r="H20" s="11" t="str">
        <f t="shared" si="2"/>
        <v>✓ đúng</v>
      </c>
    </row>
    <row r="21" spans="1:8" x14ac:dyDescent="0.35">
      <c r="A21" s="11">
        <v>8</v>
      </c>
      <c r="B21" s="11" t="s">
        <v>60</v>
      </c>
      <c r="C21" s="12" t="s">
        <v>25</v>
      </c>
      <c r="D21" s="11">
        <f>INDEX(Bang_so!$B$2:$B$27,MATCH(C21,Bang_so!$A$2:$A$27,0))</f>
        <v>18</v>
      </c>
      <c r="E21" s="13" t="str">
        <f t="shared" si="0"/>
        <v>(18 − 5) mod 26 = 13</v>
      </c>
      <c r="F21" s="11">
        <f t="shared" si="1"/>
        <v>13</v>
      </c>
      <c r="G21" s="14" t="str">
        <f>LOWER(INDEX(Bang_so!$A$2:$A$27,MOD(D21-$F$8,26)+1))</f>
        <v>n</v>
      </c>
      <c r="H21" s="11" t="str">
        <f t="shared" si="2"/>
        <v>✓ đúng</v>
      </c>
    </row>
    <row r="22" spans="1:8" x14ac:dyDescent="0.35">
      <c r="A22" s="11">
        <v>9</v>
      </c>
      <c r="B22" s="11" t="s">
        <v>61</v>
      </c>
      <c r="C22" s="12" t="s">
        <v>62</v>
      </c>
      <c r="D22" s="11">
        <f>INDEX(Bang_so!$B$2:$B$27,MATCH(C22,Bang_so!$A$2:$A$27,0))</f>
        <v>23</v>
      </c>
      <c r="E22" s="13" t="str">
        <f t="shared" si="0"/>
        <v>(23 − 5) mod 26 = 18</v>
      </c>
      <c r="F22" s="11">
        <f t="shared" si="1"/>
        <v>18</v>
      </c>
      <c r="G22" s="14" t="str">
        <f>LOWER(INDEX(Bang_so!$A$2:$A$27,MOD(D22-$F$8,26)+1))</f>
        <v>s</v>
      </c>
      <c r="H22" s="11" t="str">
        <f t="shared" si="2"/>
        <v>✓ đúng</v>
      </c>
    </row>
    <row r="23" spans="1:8" x14ac:dyDescent="0.35">
      <c r="A23" s="11">
        <v>10</v>
      </c>
      <c r="B23" s="11" t="s">
        <v>61</v>
      </c>
      <c r="C23" s="12" t="s">
        <v>63</v>
      </c>
      <c r="D23" s="11">
        <f>INDEX(Bang_so!$B$2:$B$27,MATCH(C23,Bang_so!$A$2:$A$27,0))</f>
        <v>9</v>
      </c>
      <c r="E23" s="13" t="str">
        <f t="shared" si="0"/>
        <v>(9 − 5) mod 26 = 4</v>
      </c>
      <c r="F23" s="11">
        <f t="shared" si="1"/>
        <v>4</v>
      </c>
      <c r="G23" s="14" t="str">
        <f>LOWER(INDEX(Bang_so!$A$2:$A$27,MOD(D23-$F$8,26)+1))</f>
        <v>e</v>
      </c>
      <c r="H23" s="11" t="str">
        <f t="shared" si="2"/>
        <v>✓ đúng</v>
      </c>
    </row>
    <row r="24" spans="1:8" x14ac:dyDescent="0.35">
      <c r="A24" s="11">
        <v>11</v>
      </c>
      <c r="B24" s="11" t="s">
        <v>61</v>
      </c>
      <c r="C24" s="12" t="s">
        <v>38</v>
      </c>
      <c r="D24" s="11">
        <f>INDEX(Bang_so!$B$2:$B$27,MATCH(C24,Bang_so!$A$2:$A$27,0))</f>
        <v>22</v>
      </c>
      <c r="E24" s="13" t="str">
        <f t="shared" si="0"/>
        <v>(22 − 5) mod 26 = 17</v>
      </c>
      <c r="F24" s="11">
        <f t="shared" si="1"/>
        <v>17</v>
      </c>
      <c r="G24" s="14" t="str">
        <f>LOWER(INDEX(Bang_so!$A$2:$A$27,MOD(D24-$F$8,26)+1))</f>
        <v>r</v>
      </c>
      <c r="H24" s="11" t="str">
        <f t="shared" si="2"/>
        <v>✓ đúng</v>
      </c>
    </row>
    <row r="25" spans="1:8" x14ac:dyDescent="0.35">
      <c r="A25" s="11">
        <v>12</v>
      </c>
      <c r="B25" s="11" t="s">
        <v>61</v>
      </c>
      <c r="C25" s="12" t="s">
        <v>19</v>
      </c>
      <c r="D25" s="11">
        <f>INDEX(Bang_so!$B$2:$B$27,MATCH(C25,Bang_so!$A$2:$A$27,0))</f>
        <v>0</v>
      </c>
      <c r="E25" s="13" t="str">
        <f t="shared" si="0"/>
        <v>(0 − 5) mod 26 = 21</v>
      </c>
      <c r="F25" s="11">
        <f t="shared" si="1"/>
        <v>21</v>
      </c>
      <c r="G25" s="14" t="str">
        <f>LOWER(INDEX(Bang_so!$A$2:$A$27,MOD(D25-$F$8,26)+1))</f>
        <v>v</v>
      </c>
      <c r="H25" s="11" t="str">
        <f t="shared" si="2"/>
        <v>✓ đúng</v>
      </c>
    </row>
    <row r="26" spans="1:8" x14ac:dyDescent="0.35">
      <c r="A26" s="11">
        <v>13</v>
      </c>
      <c r="B26" s="11" t="s">
        <v>61</v>
      </c>
      <c r="C26" s="12" t="s">
        <v>63</v>
      </c>
      <c r="D26" s="11">
        <f>INDEX(Bang_so!$B$2:$B$27,MATCH(C26,Bang_so!$A$2:$A$27,0))</f>
        <v>9</v>
      </c>
      <c r="E26" s="13" t="str">
        <f t="shared" si="0"/>
        <v>(9 − 5) mod 26 = 4</v>
      </c>
      <c r="F26" s="11">
        <f t="shared" si="1"/>
        <v>4</v>
      </c>
      <c r="G26" s="14" t="str">
        <f>LOWER(INDEX(Bang_so!$A$2:$A$27,MOD(D26-$F$8,26)+1))</f>
        <v>e</v>
      </c>
      <c r="H26" s="11" t="str">
        <f t="shared" si="2"/>
        <v>✓ đúng</v>
      </c>
    </row>
    <row r="27" spans="1:8" x14ac:dyDescent="0.35">
      <c r="A27" s="11">
        <v>14</v>
      </c>
      <c r="B27" s="11" t="s">
        <v>64</v>
      </c>
      <c r="C27" s="12" t="s">
        <v>65</v>
      </c>
      <c r="D27" s="11">
        <f>INDEX(Bang_so!$B$2:$B$27,MATCH(C27,Bang_so!$A$2:$A$27,0))</f>
        <v>24</v>
      </c>
      <c r="E27" s="13" t="str">
        <f t="shared" si="0"/>
        <v>(24 − 5) mod 26 = 19</v>
      </c>
      <c r="F27" s="11">
        <f t="shared" si="1"/>
        <v>19</v>
      </c>
      <c r="G27" s="14" t="str">
        <f>LOWER(INDEX(Bang_so!$A$2:$A$27,MOD(D27-$F$8,26)+1))</f>
        <v>t</v>
      </c>
      <c r="H27" s="11" t="str">
        <f t="shared" si="2"/>
        <v>✓ đúng</v>
      </c>
    </row>
    <row r="28" spans="1:8" x14ac:dyDescent="0.35">
      <c r="A28" s="11">
        <v>15</v>
      </c>
      <c r="B28" s="11" t="s">
        <v>64</v>
      </c>
      <c r="C28" s="12" t="s">
        <v>66</v>
      </c>
      <c r="D28" s="11">
        <f>INDEX(Bang_so!$B$2:$B$27,MATCH(C28,Bang_so!$A$2:$A$27,0))</f>
        <v>1</v>
      </c>
      <c r="E28" s="13" t="str">
        <f t="shared" si="0"/>
        <v>(1 − 5) mod 26 = 22</v>
      </c>
      <c r="F28" s="11">
        <f t="shared" si="1"/>
        <v>22</v>
      </c>
      <c r="G28" s="14" t="str">
        <f>LOWER(INDEX(Bang_so!$A$2:$A$27,MOD(D28-$F$8,26)+1))</f>
        <v>w</v>
      </c>
      <c r="H28" s="11" t="str">
        <f t="shared" si="2"/>
        <v>✓ đúng</v>
      </c>
    </row>
    <row r="29" spans="1:8" x14ac:dyDescent="0.35">
      <c r="A29" s="11">
        <v>16</v>
      </c>
      <c r="B29" s="11" t="s">
        <v>64</v>
      </c>
      <c r="C29" s="12" t="s">
        <v>21</v>
      </c>
      <c r="D29" s="11">
        <f>INDEX(Bang_so!$B$2:$B$27,MATCH(C29,Bang_so!$A$2:$A$27,0))</f>
        <v>19</v>
      </c>
      <c r="E29" s="13" t="str">
        <f t="shared" si="0"/>
        <v>(19 − 5) mod 26 = 14</v>
      </c>
      <c r="F29" s="11">
        <f t="shared" si="1"/>
        <v>14</v>
      </c>
      <c r="G29" s="14" t="str">
        <f>LOWER(INDEX(Bang_so!$A$2:$A$27,MOD(D29-$F$8,26)+1))</f>
        <v>o</v>
      </c>
      <c r="H29" s="11" t="str">
        <f t="shared" si="2"/>
        <v>✓ đúng</v>
      </c>
    </row>
    <row r="30" spans="1:8" x14ac:dyDescent="0.35">
      <c r="A30" s="11">
        <v>17</v>
      </c>
      <c r="B30" s="11" t="s">
        <v>67</v>
      </c>
      <c r="C30" s="12" t="s">
        <v>34</v>
      </c>
      <c r="D30" s="11">
        <f>INDEX(Bang_so!$B$2:$B$27,MATCH(C30,Bang_so!$A$2:$A$27,0))</f>
        <v>17</v>
      </c>
      <c r="E30" s="13" t="str">
        <f t="shared" si="0"/>
        <v>(17 − 5) mod 26 = 12</v>
      </c>
      <c r="F30" s="11">
        <f t="shared" si="1"/>
        <v>12</v>
      </c>
      <c r="G30" s="14" t="str">
        <f>LOWER(INDEX(Bang_so!$A$2:$A$27,MOD(D30-$F$8,26)+1))</f>
        <v>m</v>
      </c>
      <c r="H30" s="11" t="str">
        <f t="shared" si="2"/>
        <v>✓ đúng</v>
      </c>
    </row>
    <row r="31" spans="1:8" x14ac:dyDescent="0.35">
      <c r="A31" s="11">
        <v>18</v>
      </c>
      <c r="B31" s="11" t="s">
        <v>67</v>
      </c>
      <c r="C31" s="12" t="s">
        <v>49</v>
      </c>
      <c r="D31" s="11">
        <f>INDEX(Bang_so!$B$2:$B$27,MATCH(C31,Bang_so!$A$2:$A$27,0))</f>
        <v>5</v>
      </c>
      <c r="E31" s="13" t="str">
        <f t="shared" si="0"/>
        <v>(5 − 5) mod 26 = 0</v>
      </c>
      <c r="F31" s="11">
        <f t="shared" si="1"/>
        <v>0</v>
      </c>
      <c r="G31" s="14" t="str">
        <f>LOWER(INDEX(Bang_so!$A$2:$A$27,MOD(D31-$F$8,26)+1))</f>
        <v>a</v>
      </c>
      <c r="H31" s="11" t="str">
        <f t="shared" si="2"/>
        <v>✓ đúng</v>
      </c>
    </row>
    <row r="32" spans="1:8" x14ac:dyDescent="0.35">
      <c r="A32" s="11">
        <v>19</v>
      </c>
      <c r="B32" s="11" t="s">
        <v>67</v>
      </c>
      <c r="C32" s="12" t="s">
        <v>62</v>
      </c>
      <c r="D32" s="11">
        <f>INDEX(Bang_so!$B$2:$B$27,MATCH(C32,Bang_so!$A$2:$A$27,0))</f>
        <v>23</v>
      </c>
      <c r="E32" s="13" t="str">
        <f t="shared" si="0"/>
        <v>(23 − 5) mod 26 = 18</v>
      </c>
      <c r="F32" s="11">
        <f t="shared" si="1"/>
        <v>18</v>
      </c>
      <c r="G32" s="14" t="str">
        <f>LOWER(INDEX(Bang_so!$A$2:$A$27,MOD(D32-$F$8,26)+1))</f>
        <v>s</v>
      </c>
      <c r="H32" s="11" t="str">
        <f t="shared" si="2"/>
        <v>✓ đúng</v>
      </c>
    </row>
    <row r="33" spans="1:8" x14ac:dyDescent="0.35">
      <c r="A33" s="11">
        <v>20</v>
      </c>
      <c r="B33" s="11" t="s">
        <v>67</v>
      </c>
      <c r="C33" s="12" t="s">
        <v>65</v>
      </c>
      <c r="D33" s="11">
        <f>INDEX(Bang_so!$B$2:$B$27,MATCH(C33,Bang_so!$A$2:$A$27,0))</f>
        <v>24</v>
      </c>
      <c r="E33" s="13" t="str">
        <f t="shared" si="0"/>
        <v>(24 − 5) mod 26 = 19</v>
      </c>
      <c r="F33" s="11">
        <f t="shared" si="1"/>
        <v>19</v>
      </c>
      <c r="G33" s="14" t="str">
        <f>LOWER(INDEX(Bang_so!$A$2:$A$27,MOD(D33-$F$8,26)+1))</f>
        <v>t</v>
      </c>
      <c r="H33" s="11" t="str">
        <f t="shared" si="2"/>
        <v>✓ đúng</v>
      </c>
    </row>
    <row r="34" spans="1:8" x14ac:dyDescent="0.35">
      <c r="A34" s="11">
        <v>21</v>
      </c>
      <c r="B34" s="11" t="s">
        <v>67</v>
      </c>
      <c r="C34" s="12" t="s">
        <v>63</v>
      </c>
      <c r="D34" s="11">
        <f>INDEX(Bang_so!$B$2:$B$27,MATCH(C34,Bang_so!$A$2:$A$27,0))</f>
        <v>9</v>
      </c>
      <c r="E34" s="13" t="str">
        <f t="shared" si="0"/>
        <v>(9 − 5) mod 26 = 4</v>
      </c>
      <c r="F34" s="11">
        <f t="shared" si="1"/>
        <v>4</v>
      </c>
      <c r="G34" s="14" t="str">
        <f>LOWER(INDEX(Bang_so!$A$2:$A$27,MOD(D34-$F$8,26)+1))</f>
        <v>e</v>
      </c>
      <c r="H34" s="11" t="str">
        <f t="shared" si="2"/>
        <v>✓ đúng</v>
      </c>
    </row>
    <row r="35" spans="1:8" x14ac:dyDescent="0.35">
      <c r="A35" s="11">
        <v>22</v>
      </c>
      <c r="B35" s="11" t="s">
        <v>67</v>
      </c>
      <c r="C35" s="12" t="s">
        <v>38</v>
      </c>
      <c r="D35" s="11">
        <f>INDEX(Bang_so!$B$2:$B$27,MATCH(C35,Bang_so!$A$2:$A$27,0))</f>
        <v>22</v>
      </c>
      <c r="E35" s="13" t="str">
        <f t="shared" si="0"/>
        <v>(22 − 5) mod 26 = 17</v>
      </c>
      <c r="F35" s="11">
        <f t="shared" si="1"/>
        <v>17</v>
      </c>
      <c r="G35" s="14" t="str">
        <f>LOWER(INDEX(Bang_so!$A$2:$A$27,MOD(D35-$F$8,26)+1))</f>
        <v>r</v>
      </c>
      <c r="H35" s="11" t="str">
        <f t="shared" si="2"/>
        <v>✓ đúng</v>
      </c>
    </row>
    <row r="36" spans="1:8" x14ac:dyDescent="0.35">
      <c r="A36" s="11">
        <v>23</v>
      </c>
      <c r="B36" s="11" t="s">
        <v>67</v>
      </c>
      <c r="C36" s="12" t="s">
        <v>62</v>
      </c>
      <c r="D36" s="11">
        <f>INDEX(Bang_so!$B$2:$B$27,MATCH(C36,Bang_so!$A$2:$A$27,0))</f>
        <v>23</v>
      </c>
      <c r="E36" s="13" t="str">
        <f t="shared" si="0"/>
        <v>(23 − 5) mod 26 = 18</v>
      </c>
      <c r="F36" s="11">
        <f t="shared" si="1"/>
        <v>18</v>
      </c>
      <c r="G36" s="14" t="str">
        <f>LOWER(INDEX(Bang_so!$A$2:$A$27,MOD(D36-$F$8,26)+1))</f>
        <v>s</v>
      </c>
      <c r="H36" s="11" t="str">
        <f t="shared" si="2"/>
        <v>✓ đúng</v>
      </c>
    </row>
    <row r="38" spans="1:8" ht="15.5" x14ac:dyDescent="0.35">
      <c r="A38" s="3" t="s">
        <v>39</v>
      </c>
      <c r="B38" s="4"/>
      <c r="C38" s="4"/>
      <c r="D38" s="4"/>
      <c r="E38" s="4"/>
      <c r="F38" s="4"/>
      <c r="G38" s="4"/>
      <c r="H38" s="4"/>
    </row>
    <row r="39" spans="1:8" x14ac:dyDescent="0.35">
      <c r="A39" s="10" t="s">
        <v>10</v>
      </c>
      <c r="B39" s="10" t="s">
        <v>40</v>
      </c>
      <c r="C39" s="10" t="s">
        <v>41</v>
      </c>
      <c r="D39" s="10"/>
      <c r="E39" s="10" t="s">
        <v>42</v>
      </c>
      <c r="F39" s="10"/>
      <c r="G39" s="10"/>
      <c r="H39" s="10" t="s">
        <v>43</v>
      </c>
    </row>
    <row r="40" spans="1:8" x14ac:dyDescent="0.35">
      <c r="A40" s="11">
        <v>1</v>
      </c>
      <c r="B40" s="11" t="s">
        <v>58</v>
      </c>
      <c r="C40" s="11">
        <f>COUNTA(G14:G15)</f>
        <v>2</v>
      </c>
      <c r="E40" s="15" t="str">
        <f>G14&amp;G15</f>
        <v>no</v>
      </c>
      <c r="H40" s="11" t="str">
        <f>IF(COUNTIF(H14:H15,"✓ đúng")=C40,"✓ đạt","✗ lỗi")</f>
        <v>✓ đạt</v>
      </c>
    </row>
    <row r="41" spans="1:8" x14ac:dyDescent="0.35">
      <c r="A41" s="11">
        <v>2</v>
      </c>
      <c r="B41" s="11" t="s">
        <v>59</v>
      </c>
      <c r="C41" s="11">
        <f>COUNTA(G16:G18)</f>
        <v>3</v>
      </c>
      <c r="E41" s="15" t="str">
        <f>G16&amp;G17&amp;G18</f>
        <v>man</v>
      </c>
      <c r="H41" s="11" t="str">
        <f>IF(COUNTIF(H16:H18,"✓ đúng")=C41,"✓ đạt","✗ lỗi")</f>
        <v>✓ đạt</v>
      </c>
    </row>
    <row r="42" spans="1:8" x14ac:dyDescent="0.35">
      <c r="A42" s="11">
        <v>3</v>
      </c>
      <c r="B42" s="11" t="s">
        <v>60</v>
      </c>
      <c r="C42" s="11">
        <f>COUNTA(G19:G21)</f>
        <v>3</v>
      </c>
      <c r="E42" s="15" t="str">
        <f>G19&amp;G20&amp;G21</f>
        <v>can</v>
      </c>
      <c r="H42" s="11" t="str">
        <f>IF(COUNTIF(H19:H21,"✓ đúng")=C42,"✓ đạt","✗ lỗi")</f>
        <v>✓ đạt</v>
      </c>
    </row>
    <row r="43" spans="1:8" x14ac:dyDescent="0.35">
      <c r="A43" s="11">
        <v>4</v>
      </c>
      <c r="B43" s="11" t="s">
        <v>61</v>
      </c>
      <c r="C43" s="11">
        <f>COUNTA(G22:G26)</f>
        <v>5</v>
      </c>
      <c r="E43" s="15" t="str">
        <f>G22&amp;G23&amp;G24&amp;G25&amp;G26</f>
        <v>serve</v>
      </c>
      <c r="H43" s="11" t="str">
        <f>IF(COUNTIF(H22:H26,"✓ đúng")=C43,"✓ đạt","✗ lỗi")</f>
        <v>✓ đạt</v>
      </c>
    </row>
    <row r="44" spans="1:8" x14ac:dyDescent="0.35">
      <c r="A44" s="11">
        <v>5</v>
      </c>
      <c r="B44" s="11" t="s">
        <v>64</v>
      </c>
      <c r="C44" s="11">
        <f>COUNTA(G27:G29)</f>
        <v>3</v>
      </c>
      <c r="E44" s="15" t="str">
        <f>G27&amp;G28&amp;G29</f>
        <v>two</v>
      </c>
      <c r="H44" s="11" t="str">
        <f>IF(COUNTIF(H27:H29,"✓ đúng")=C44,"✓ đạt","✗ lỗi")</f>
        <v>✓ đạt</v>
      </c>
    </row>
    <row r="45" spans="1:8" x14ac:dyDescent="0.35">
      <c r="A45" s="11">
        <v>6</v>
      </c>
      <c r="B45" s="11" t="s">
        <v>67</v>
      </c>
      <c r="C45" s="11">
        <f>COUNTA(G30:G36)</f>
        <v>7</v>
      </c>
      <c r="E45" s="15" t="str">
        <f>G30&amp;G31&amp;G32&amp;G33&amp;G34&amp;G35&amp;G36</f>
        <v>masters</v>
      </c>
      <c r="H45" s="11" t="str">
        <f>IF(COUNTIF(H30:H36,"✓ đúng")=C45,"✓ đạt","✗ lỗi")</f>
        <v>✓ đạt</v>
      </c>
    </row>
    <row r="47" spans="1:8" ht="15.5" x14ac:dyDescent="0.35">
      <c r="A47" s="3" t="s">
        <v>44</v>
      </c>
      <c r="B47" s="4"/>
      <c r="C47" s="4"/>
      <c r="D47" s="4"/>
      <c r="E47" s="4"/>
      <c r="F47" s="4"/>
      <c r="G47" s="4"/>
      <c r="H47" s="4"/>
    </row>
    <row r="48" spans="1:8" x14ac:dyDescent="0.35">
      <c r="A48" s="5" t="s">
        <v>6</v>
      </c>
      <c r="C48" s="16">
        <f>$F$8</f>
        <v>5</v>
      </c>
    </row>
    <row r="49" spans="1:8" x14ac:dyDescent="0.35">
      <c r="A49" s="5" t="s">
        <v>7</v>
      </c>
      <c r="C49" s="17" t="str">
        <f>E40&amp;" "&amp;E41&amp;" "&amp;E42&amp;" "&amp;E43&amp;" "&amp;E44&amp;" "&amp;E45</f>
        <v>no man can serve two masters</v>
      </c>
      <c r="D49" s="18"/>
      <c r="E49" s="18"/>
      <c r="F49" s="18"/>
      <c r="G49" s="18"/>
      <c r="H49" s="18"/>
    </row>
    <row r="50" spans="1:8" x14ac:dyDescent="0.35">
      <c r="A50" s="7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Normal="100" workbookViewId="0"/>
  </sheetViews>
  <sheetFormatPr defaultColWidth="8.6328125" defaultRowHeight="14.5" x14ac:dyDescent="0.35"/>
  <cols>
    <col min="1" max="2" width="12" customWidth="1"/>
  </cols>
  <sheetData>
    <row r="1" spans="1:2" x14ac:dyDescent="0.35">
      <c r="A1" s="10" t="s">
        <v>69</v>
      </c>
      <c r="B1" s="10" t="s">
        <v>70</v>
      </c>
    </row>
    <row r="2" spans="1:2" x14ac:dyDescent="0.35">
      <c r="A2" s="11" t="s">
        <v>19</v>
      </c>
      <c r="B2" s="12">
        <v>0</v>
      </c>
    </row>
    <row r="3" spans="1:2" x14ac:dyDescent="0.35">
      <c r="A3" s="11" t="s">
        <v>66</v>
      </c>
      <c r="B3" s="12">
        <v>1</v>
      </c>
    </row>
    <row r="4" spans="1:2" x14ac:dyDescent="0.35">
      <c r="A4" s="11" t="s">
        <v>20</v>
      </c>
      <c r="B4" s="12">
        <v>2</v>
      </c>
    </row>
    <row r="5" spans="1:2" x14ac:dyDescent="0.35">
      <c r="A5" s="11" t="s">
        <v>33</v>
      </c>
      <c r="B5" s="12">
        <v>3</v>
      </c>
    </row>
    <row r="6" spans="1:2" x14ac:dyDescent="0.35">
      <c r="A6" s="11" t="s">
        <v>28</v>
      </c>
      <c r="B6" s="12">
        <v>4</v>
      </c>
    </row>
    <row r="7" spans="1:2" x14ac:dyDescent="0.35">
      <c r="A7" s="11" t="s">
        <v>49</v>
      </c>
      <c r="B7" s="12">
        <v>5</v>
      </c>
    </row>
    <row r="8" spans="1:2" x14ac:dyDescent="0.35">
      <c r="A8" s="11" t="s">
        <v>71</v>
      </c>
      <c r="B8" s="12">
        <v>6</v>
      </c>
    </row>
    <row r="9" spans="1:2" x14ac:dyDescent="0.35">
      <c r="A9" s="11" t="s">
        <v>36</v>
      </c>
      <c r="B9" s="12">
        <v>7</v>
      </c>
    </row>
    <row r="10" spans="1:2" x14ac:dyDescent="0.35">
      <c r="A10" s="11" t="s">
        <v>22</v>
      </c>
      <c r="B10" s="12">
        <v>8</v>
      </c>
    </row>
    <row r="11" spans="1:2" x14ac:dyDescent="0.35">
      <c r="A11" s="11" t="s">
        <v>63</v>
      </c>
      <c r="B11" s="12">
        <v>9</v>
      </c>
    </row>
    <row r="12" spans="1:2" x14ac:dyDescent="0.35">
      <c r="A12" s="11" t="s">
        <v>29</v>
      </c>
      <c r="B12" s="12">
        <v>10</v>
      </c>
    </row>
    <row r="13" spans="1:2" x14ac:dyDescent="0.35">
      <c r="A13" s="11" t="s">
        <v>31</v>
      </c>
      <c r="B13" s="12">
        <v>11</v>
      </c>
    </row>
    <row r="14" spans="1:2" x14ac:dyDescent="0.35">
      <c r="A14" s="11" t="s">
        <v>72</v>
      </c>
      <c r="B14" s="12">
        <v>12</v>
      </c>
    </row>
    <row r="15" spans="1:2" x14ac:dyDescent="0.35">
      <c r="A15" s="11" t="s">
        <v>24</v>
      </c>
      <c r="B15" s="12">
        <v>13</v>
      </c>
    </row>
    <row r="16" spans="1:2" x14ac:dyDescent="0.35">
      <c r="A16" s="11" t="s">
        <v>23</v>
      </c>
      <c r="B16" s="12">
        <v>14</v>
      </c>
    </row>
    <row r="17" spans="1:2" x14ac:dyDescent="0.35">
      <c r="A17" s="11" t="s">
        <v>27</v>
      </c>
      <c r="B17" s="12">
        <v>15</v>
      </c>
    </row>
    <row r="18" spans="1:2" x14ac:dyDescent="0.35">
      <c r="A18" s="11" t="s">
        <v>73</v>
      </c>
      <c r="B18" s="12">
        <v>16</v>
      </c>
    </row>
    <row r="19" spans="1:2" x14ac:dyDescent="0.35">
      <c r="A19" s="11" t="s">
        <v>34</v>
      </c>
      <c r="B19" s="12">
        <v>17</v>
      </c>
    </row>
    <row r="20" spans="1:2" x14ac:dyDescent="0.35">
      <c r="A20" s="11" t="s">
        <v>25</v>
      </c>
      <c r="B20" s="12">
        <v>18</v>
      </c>
    </row>
    <row r="21" spans="1:2" x14ac:dyDescent="0.35">
      <c r="A21" s="11" t="s">
        <v>21</v>
      </c>
      <c r="B21" s="12">
        <v>19</v>
      </c>
    </row>
    <row r="22" spans="1:2" x14ac:dyDescent="0.35">
      <c r="A22" s="11" t="s">
        <v>32</v>
      </c>
      <c r="B22" s="12">
        <v>20</v>
      </c>
    </row>
    <row r="23" spans="1:2" x14ac:dyDescent="0.35">
      <c r="A23" s="11" t="s">
        <v>74</v>
      </c>
      <c r="B23" s="12">
        <v>21</v>
      </c>
    </row>
    <row r="24" spans="1:2" x14ac:dyDescent="0.35">
      <c r="A24" s="11" t="s">
        <v>38</v>
      </c>
      <c r="B24" s="12">
        <v>22</v>
      </c>
    </row>
    <row r="25" spans="1:2" x14ac:dyDescent="0.35">
      <c r="A25" s="11" t="s">
        <v>62</v>
      </c>
      <c r="B25" s="12">
        <v>23</v>
      </c>
    </row>
    <row r="26" spans="1:2" x14ac:dyDescent="0.35">
      <c r="A26" s="11" t="s">
        <v>65</v>
      </c>
      <c r="B26" s="12">
        <v>24</v>
      </c>
    </row>
    <row r="27" spans="1:2" x14ac:dyDescent="0.35">
      <c r="A27" s="11" t="s">
        <v>75</v>
      </c>
      <c r="B27" s="12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Mã hóa</vt:lpstr>
      <vt:lpstr>Giải mã</vt:lpstr>
      <vt:lpstr>Bang_so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Phung Dao</cp:lastModifiedBy>
  <cp:revision>0</cp:revision>
  <dcterms:created xsi:type="dcterms:W3CDTF">2026-10-06T06:24:29Z</dcterms:created>
  <dcterms:modified xsi:type="dcterms:W3CDTF">2026-10-06T06:26:03Z</dcterms:modified>
  <dc:language>en-US</dc:language>
</cp:coreProperties>
</file>